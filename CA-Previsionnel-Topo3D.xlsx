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Prévisionnel C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<sst xmlns="http://schemas.openxmlformats.org/spreadsheetml/2006/main" count="69" uniqueCount="68">
  <si>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 xml:space="preserve">TOPO3D GUADELOUPE — BUSINESS PLAN</t>
  </si>
  <si>
    <t xml:space="preserve">Prévisionnel de chiffre d'affaires — Mars 2026</t>
  </si>
  <si>
    <t xml:space="preserve">MARCHÉ CIBLE</t>
  </si>
  <si>
    <t xml:space="preserve">Cabinets d'architecture Guadeloupe</t>
  </si>
  <si>
    <t xml:space="preserve">Source: Ordre des Architectes 971</t>
  </si>
  <si>
    <t xml:space="preserve">Bureaux d'études techniques</t>
  </si>
  <si>
    <t xml:space="preserve">Source: estimation marché local</t>
  </si>
  <si>
    <t xml:space="preserve">Promoteurs immobiliers actifs</t>
  </si>
  <si>
    <t xml:space="preserve">Géomètres-experts</t>
  </si>
  <si>
    <t xml:space="preserve">Source: OGE Guadeloupe</t>
  </si>
  <si>
    <t xml:space="preserve">Particuliers investisseurs (via KCI)</t>
  </si>
  <si>
    <t xml:space="preserve">Source: base prospects KCI</t>
  </si>
  <si>
    <t xml:space="preserve">TOTAL PROSPECTS</t>
  </si>
  <si>
    <t xml:space="preserve">TARIFICATION</t>
  </si>
  <si>
    <t xml:space="preserve">Offre</t>
  </si>
  <si>
    <t xml:space="preserve">Prix (€)</t>
  </si>
  <si>
    <t xml:space="preserve">Contenu</t>
  </si>
  <si>
    <t xml:space="preserve">Essentiel</t>
  </si>
  <si>
    <t xml:space="preserve">Mesh OBJ 5m + GeoJSON</t>
  </si>
  <si>
    <t xml:space="preserve">Complet (offre phare)</t>
  </si>
  <si>
    <t xml:space="preserve">OBJ 2-3m + DXF courbes + rapport</t>
  </si>
  <si>
    <t xml:space="preserve">Pro Illimité (mensuel)</t>
  </si>
  <si>
    <t xml:space="preserve">Abonnement illimité + API</t>
  </si>
  <si>
    <t xml:space="preserve">HYPOTHÈSES DE CONVERSION</t>
  </si>
  <si>
    <t xml:space="preserve">Taux de conversion Essentiel (an 1)</t>
  </si>
  <si>
    <t xml:space="preserve">5% du marché cible</t>
  </si>
  <si>
    <t xml:space="preserve">Taux de conversion Complet (an 1)</t>
  </si>
  <si>
    <t xml:space="preserve">8% — offre phare</t>
  </si>
  <si>
    <t xml:space="preserve">Taux de conversion Pro (an 1)</t>
  </si>
  <si>
    <t xml:space="preserve">2% — abonnement mensuel</t>
  </si>
  <si>
    <t xml:space="preserve">Croissance annuelle du taux de conversion</t>
  </si>
  <si>
    <t xml:space="preserve">50%/an (notoriété)</t>
  </si>
  <si>
    <t xml:space="preserve">Fréquence commandes Essentiel (par client/an)</t>
  </si>
  <si>
    <t xml:space="preserve">3 parcelles/an</t>
  </si>
  <si>
    <t xml:space="preserve">Fréquence commandes Complet (par client/an)</t>
  </si>
  <si>
    <t xml:space="preserve">5 parcelles/an</t>
  </si>
  <si>
    <t xml:space="preserve">Coût variable par génération</t>
  </si>
  <si>
    <t xml:space="preserve">API + compute</t>
  </si>
  <si>
    <t xml:space="preserve">Charges fixes mensuelles</t>
  </si>
  <si>
    <t xml:space="preserve">Hébergement Vercel + domaine</t>
  </si>
  <si>
    <t xml:space="preserve">PRÉVISIONNEL CHIFFRE D'AFFAIRES — TOPO3D GUADELOUPE</t>
  </si>
  <si>
    <t xml:space="preserve">Projection sur 3 ans (2026-2028)</t>
  </si>
  <si>
    <t xml:space="preserve">Année 1 (2026)</t>
  </si>
  <si>
    <t xml:space="preserve">Année 2 (2027)</t>
  </si>
  <si>
    <t xml:space="preserve">Année 3 (2028)</t>
  </si>
  <si>
    <t xml:space="preserve">Total 3 ans</t>
  </si>
  <si>
    <t xml:space="preserve">CLIENTS ACQUIS</t>
  </si>
  <si>
    <t xml:space="preserve">Essentiel (taux × marché)</t>
  </si>
  <si>
    <t xml:space="preserve">Complet (taux × marché)</t>
  </si>
  <si>
    <t xml:space="preserve">Pro abonnés</t>
  </si>
  <si>
    <t xml:space="preserve">Total clients</t>
  </si>
  <si>
    <t xml:space="preserve">VOLUME DE COMMANDES</t>
  </si>
  <si>
    <t xml:space="preserve">Commandes Essentiel</t>
  </si>
  <si>
    <t xml:space="preserve">Commandes Complet</t>
  </si>
  <si>
    <t xml:space="preserve">Mois abonnement Pro</t>
  </si>
  <si>
    <t xml:space="preserve">Total commandes</t>
  </si>
  <si>
    <t xml:space="preserve">CHIFFRE D'AFFAIRES</t>
  </si>
  <si>
    <t xml:space="preserve">CA Essentiel</t>
  </si>
  <si>
    <t xml:space="preserve">CA Complet</t>
  </si>
  <si>
    <t xml:space="preserve">CA Pro (abonnements)</t>
  </si>
  <si>
    <t xml:space="preserve">CA TOTAL</t>
  </si>
  <si>
    <t xml:space="preserve">COÛTS</t>
  </si>
  <si>
    <t xml:space="preserve">Coûts variables</t>
  </si>
  <si>
    <t xml:space="preserve">Charges fixes</t>
  </si>
  <si>
    <t xml:space="preserve">Total coûts</t>
  </si>
  <si>
    <t xml:space="preserve">MARGE</t>
  </si>
  <si>
    <t xml:space="preserve">Marge brute</t>
  </si>
  <si>
    <t xml:space="preserve">Taux de marge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</si>
</sst>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A14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0066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1A1A2A"/>
        <bgColor rgb="FF0A0A14"/>
      </patternFill>
    </fill>
    <fill>
      <patternFill patternType="solid">
        <fgColor rgb="FFFFF2CC"/>
        <bgColor rgb="FFFFFFFF"/>
      </patternFill>
    </fill>
    <fill>
      <patternFill patternType="solid">
        <fgColor rgb="FFE6FF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E6FFF5"/>
      <rgbColor rgb="FF660066"/>
      <rgbColor rgb="FFFF8080"/>
      <rgbColor rgb="FF0066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A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14"/>
      <rgbColor rgb="FF1A1A2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AA"/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150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80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30</v>
      </c>
      <c r="C7" s="6" t="s">
        <v>6</v>
      </c>
    </row>
    <row r="8" customFormat="false" ht="15" hidden="false" customHeight="false" outlineLevel="0" collapsed="false">
      <c r="A8" s="4" t="s">
        <v>8</v>
      </c>
      <c r="B8" s="5" t="n">
        <v>25</v>
      </c>
      <c r="C8" s="6" t="s">
        <v>9</v>
      </c>
    </row>
    <row r="9" customFormat="false" ht="15" hidden="false" customHeight="false" outlineLevel="0" collapsed="false">
      <c r="A9" s="4" t="s">
        <v>10</v>
      </c>
      <c r="B9" s="5" t="n">
        <v>200</v>
      </c>
      <c r="C9" s="6" t="s">
        <v>11</v>
      </c>
    </row>
    <row r="10" customFormat="false" ht="15" hidden="false" customHeight="false" outlineLevel="0" collapsed="false">
      <c r="A10" s="4" t="s">
        <v>12</v>
      </c>
      <c r="B10" s="7" t="n">
        <f aca="false">SUM(B5:B9)</f>
        <v>485</v>
      </c>
      <c r="C10" s="6"/>
    </row>
    <row r="12" customFormat="false" ht="15" hidden="false" customHeight="false" outlineLevel="0" collapsed="false">
      <c r="A12" s="3" t="s">
        <v>13</v>
      </c>
      <c r="B12" s="3"/>
      <c r="C12" s="3"/>
    </row>
    <row r="13" customFormat="false" ht="15" hidden="false" customHeight="false" outlineLevel="0" collapsed="false">
      <c r="A13" s="8" t="s">
        <v>14</v>
      </c>
      <c r="B13" s="8" t="s">
        <v>15</v>
      </c>
      <c r="C13" s="8" t="s">
        <v>16</v>
      </c>
    </row>
    <row r="14" customFormat="false" ht="15" hidden="false" customHeight="false" outlineLevel="0" collapsed="false">
      <c r="A14" s="4" t="s">
        <v>17</v>
      </c>
      <c r="B14" s="9" t="n">
        <v>49</v>
      </c>
      <c r="C14" s="4" t="s">
        <v>18</v>
      </c>
    </row>
    <row r="15" customFormat="false" ht="15" hidden="false" customHeight="false" outlineLevel="0" collapsed="false">
      <c r="A15" s="4" t="s">
        <v>19</v>
      </c>
      <c r="B15" s="9" t="n">
        <v>99</v>
      </c>
      <c r="C15" s="4" t="s">
        <v>20</v>
      </c>
    </row>
    <row r="16" customFormat="false" ht="15" hidden="false" customHeight="false" outlineLevel="0" collapsed="false">
      <c r="A16" s="4" t="s">
        <v>21</v>
      </c>
      <c r="B16" s="9" t="n">
        <v>249</v>
      </c>
      <c r="C16" s="4" t="s">
        <v>22</v>
      </c>
    </row>
    <row r="19" customFormat="false" ht="15" hidden="false" customHeight="false" outlineLevel="0" collapsed="false">
      <c r="A19" s="3" t="s">
        <v>23</v>
      </c>
      <c r="B19" s="3"/>
      <c r="C19" s="3"/>
    </row>
    <row r="20" customFormat="false" ht="15" hidden="false" customHeight="false" outlineLevel="0" collapsed="false">
      <c r="A20" s="4" t="s">
        <v>24</v>
      </c>
      <c r="B20" s="10" t="n">
        <v>0.05</v>
      </c>
      <c r="C20" s="6" t="s">
        <v>25</v>
      </c>
    </row>
    <row r="21" customFormat="false" ht="15" hidden="false" customHeight="false" outlineLevel="0" collapsed="false">
      <c r="A21" s="4" t="s">
        <v>26</v>
      </c>
      <c r="B21" s="10" t="n">
        <v>0.08</v>
      </c>
      <c r="C21" s="6" t="s">
        <v>27</v>
      </c>
    </row>
    <row r="22" customFormat="false" ht="15" hidden="false" customHeight="false" outlineLevel="0" collapsed="false">
      <c r="A22" s="4" t="s">
        <v>28</v>
      </c>
      <c r="B22" s="10" t="n">
        <v>0.02</v>
      </c>
      <c r="C22" s="6" t="s">
        <v>29</v>
      </c>
    </row>
    <row r="23" customFormat="false" ht="15" hidden="false" customHeight="false" outlineLevel="0" collapsed="false">
      <c r="A23" s="4" t="s">
        <v>30</v>
      </c>
      <c r="B23" s="10" t="n">
        <v>0.5</v>
      </c>
      <c r="C23" s="6" t="s">
        <v>31</v>
      </c>
    </row>
    <row r="24" customFormat="false" ht="15" hidden="false" customHeight="false" outlineLevel="0" collapsed="false">
      <c r="A24" s="4" t="s">
        <v>32</v>
      </c>
      <c r="B24" s="11" t="n">
        <v>3</v>
      </c>
      <c r="C24" s="6" t="s">
        <v>33</v>
      </c>
    </row>
    <row r="25" customFormat="false" ht="15" hidden="false" customHeight="false" outlineLevel="0" collapsed="false">
      <c r="A25" s="4" t="s">
        <v>34</v>
      </c>
      <c r="B25" s="11" t="n">
        <v>5</v>
      </c>
      <c r="C25" s="6" t="s">
        <v>35</v>
      </c>
    </row>
    <row r="26" customFormat="false" ht="15" hidden="false" customHeight="false" outlineLevel="0" collapsed="false">
      <c r="A26" s="4" t="s">
        <v>36</v>
      </c>
      <c r="B26" s="12" t="n">
        <v>2</v>
      </c>
      <c r="C26" s="6" t="s">
        <v>37</v>
      </c>
    </row>
    <row r="27" customFormat="false" ht="15" hidden="false" customHeight="false" outlineLevel="0" collapsed="false">
      <c r="A27" s="4" t="s">
        <v>38</v>
      </c>
      <c r="B27" s="12" t="n">
        <v>50</v>
      </c>
      <c r="C27" s="6" t="s">
        <v>39</v>
      </c>
    </row>
  </sheetData>
  <mergeCells count="3">
    <mergeCell ref="A4:C4"/>
    <mergeCell ref="A12:C1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FF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3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14"/>
      <c r="B4" s="14" t="s">
        <v>42</v>
      </c>
      <c r="C4" s="14" t="s">
        <v>43</v>
      </c>
      <c r="D4" s="14" t="s">
        <v>44</v>
      </c>
      <c r="E4" s="14" t="s">
        <v>45</v>
      </c>
    </row>
    <row r="5" customFormat="false" ht="15" hidden="false" customHeight="false" outlineLevel="0" collapsed="false">
      <c r="A5" s="15" t="s">
        <v>46</v>
      </c>
      <c r="B5" s="16" t="n">
        <f aca="false">ROUND(Hypothèses!B20*Hypothèses!B10,0)</f>
        <v>24</v>
      </c>
      <c r="C5" s="16" t="n">
        <f aca="false">ROUND(B5*(1+Hypothèses!B23),0)</f>
        <v>36</v>
      </c>
      <c r="D5" s="16" t="n">
        <f aca="false">ROUND(C5*(1+Hypothèses!B23),0)</f>
        <v>54</v>
      </c>
      <c r="E5" s="16" t="n">
        <f aca="false">SUM(B5:D5)</f>
        <v>114</v>
      </c>
    </row>
    <row r="6" customFormat="false" ht="15" hidden="false" customHeight="false" outlineLevel="0" collapsed="false">
      <c r="A6" s="17" t="s">
        <v>47</v>
      </c>
      <c r="B6" s="18" t="n">
        <f aca="false">ROUND(Hypothèses!B21*Hypothèses!B10,0)</f>
        <v>39</v>
      </c>
      <c r="C6" s="18" t="n">
        <f aca="false">ROUND(B6*(1+Hypothèses!B23),0)</f>
        <v>59</v>
      </c>
      <c r="D6" s="18" t="n">
        <f aca="false">ROUND(C6*(1+Hypothèses!B23),0)</f>
        <v>89</v>
      </c>
      <c r="E6" s="18" t="n">
        <f aca="false">SUM(B6:D6)</f>
        <v>187</v>
      </c>
    </row>
    <row r="7" customFormat="false" ht="15" hidden="false" customHeight="false" outlineLevel="0" collapsed="false">
      <c r="A7" s="17" t="s">
        <v>48</v>
      </c>
      <c r="B7" s="18" t="n">
        <f aca="false">ROUND(Hypothèses!B22*Hypothèses!B10,0)</f>
        <v>10</v>
      </c>
      <c r="C7" s="18" t="n">
        <f aca="false">ROUND(B7*(1+Hypothèses!B23),0)</f>
        <v>15</v>
      </c>
      <c r="D7" s="18" t="n">
        <f aca="false">ROUND(C7*(1+Hypothèses!B23),0)</f>
        <v>23</v>
      </c>
      <c r="E7" s="18" t="n">
        <f aca="false">SUM(B7:D7)</f>
        <v>48</v>
      </c>
    </row>
    <row r="8" customFormat="false" ht="15" hidden="false" customHeight="false" outlineLevel="0" collapsed="false">
      <c r="A8" s="17" t="s">
        <v>49</v>
      </c>
      <c r="B8" s="19" t="n">
        <f aca="false">SUM(B5:B7)</f>
        <v>73</v>
      </c>
      <c r="C8" s="19" t="n">
        <f aca="false">SUM(C5:C7)</f>
        <v>110</v>
      </c>
      <c r="D8" s="19" t="n">
        <f aca="false">SUM(D5:D7)</f>
        <v>166</v>
      </c>
      <c r="E8" s="18" t="n">
        <f aca="false">SUM(B8:D8)</f>
        <v>349</v>
      </c>
    </row>
    <row r="9" customFormat="false" ht="15" hidden="false" customHeight="false" outlineLevel="0" collapsed="false">
      <c r="A9" s="17" t="s">
        <v>50</v>
      </c>
      <c r="B9" s="18"/>
      <c r="C9" s="18"/>
      <c r="D9" s="18"/>
      <c r="E9" s="18"/>
    </row>
    <row r="10" customFormat="false" ht="15" hidden="false" customHeight="false" outlineLevel="0" collapsed="false">
      <c r="A10" s="17"/>
      <c r="B10" s="18"/>
      <c r="C10" s="18"/>
      <c r="D10" s="18"/>
      <c r="E10" s="18"/>
    </row>
    <row r="11" customFormat="false" ht="15" hidden="false" customHeight="false" outlineLevel="0" collapsed="false">
      <c r="A11" s="15" t="s">
        <v>51</v>
      </c>
      <c r="B11" s="16" t="n">
        <f aca="false">B5*Hypothèses!B24</f>
        <v>72</v>
      </c>
      <c r="C11" s="16" t="n">
        <f aca="false">C5*Hypothèses!B24</f>
        <v>108</v>
      </c>
      <c r="D11" s="16" t="n">
        <f aca="false">D5*Hypothèses!B24</f>
        <v>162</v>
      </c>
      <c r="E11" s="16" t="n">
        <f aca="false">SUM(B11:D11)</f>
        <v>342</v>
      </c>
    </row>
    <row r="12" customFormat="false" ht="15" hidden="false" customHeight="false" outlineLevel="0" collapsed="false">
      <c r="A12" s="17" t="s">
        <v>52</v>
      </c>
      <c r="B12" s="18" t="n">
        <f aca="false">B6*Hypothèses!B25</f>
        <v>195</v>
      </c>
      <c r="C12" s="18" t="n">
        <f aca="false">C6*Hypothèses!B25</f>
        <v>295</v>
      </c>
      <c r="D12" s="18" t="n">
        <f aca="false">D6*Hypothèses!B25</f>
        <v>445</v>
      </c>
      <c r="E12" s="18" t="n">
        <f aca="false">SUM(B12:D12)</f>
        <v>935</v>
      </c>
    </row>
    <row r="13" customFormat="false" ht="15" hidden="false" customHeight="false" outlineLevel="0" collapsed="false">
      <c r="A13" s="17" t="s">
        <v>53</v>
      </c>
      <c r="B13" s="18" t="n">
        <f aca="false">B7*12</f>
        <v>120</v>
      </c>
      <c r="C13" s="18" t="n">
        <f aca="false">C7*12</f>
        <v>180</v>
      </c>
      <c r="D13" s="18" t="n">
        <f aca="false">D7*12</f>
        <v>276</v>
      </c>
      <c r="E13" s="18" t="n">
        <f aca="false">SUM(B13:D13)</f>
        <v>576</v>
      </c>
    </row>
    <row r="14" customFormat="false" ht="15" hidden="false" customHeight="false" outlineLevel="0" collapsed="false">
      <c r="A14" s="17" t="s">
        <v>54</v>
      </c>
      <c r="B14" s="19" t="n">
        <f aca="false">SUM(B11:B13)</f>
        <v>387</v>
      </c>
      <c r="C14" s="19" t="n">
        <f aca="false">SUM(C11:C13)</f>
        <v>583</v>
      </c>
      <c r="D14" s="19" t="n">
        <f aca="false">SUM(D11:D13)</f>
        <v>883</v>
      </c>
      <c r="E14" s="18" t="n">
        <f aca="false">SUM(B14:D14)</f>
        <v>1853</v>
      </c>
    </row>
    <row r="15" customFormat="false" ht="15" hidden="false" customHeight="false" outlineLevel="0" collapsed="false">
      <c r="A15" s="17" t="s">
        <v>55</v>
      </c>
      <c r="B15" s="18"/>
      <c r="C15" s="18"/>
      <c r="D15" s="18"/>
      <c r="E15" s="18"/>
    </row>
    <row r="16" customFormat="false" ht="15" hidden="false" customHeight="false" outlineLevel="0" collapsed="false">
      <c r="A16" s="17"/>
      <c r="B16" s="18"/>
      <c r="C16" s="18"/>
      <c r="D16" s="18"/>
      <c r="E16" s="18"/>
    </row>
    <row r="17" customFormat="false" ht="15" hidden="false" customHeight="false" outlineLevel="0" collapsed="false">
      <c r="A17" s="15" t="s">
        <v>56</v>
      </c>
      <c r="B17" s="20" t="n">
        <f aca="false">B11*Hypothèses!B14</f>
        <v>3528</v>
      </c>
      <c r="C17" s="20" t="n">
        <f aca="false">C11*Hypothèses!B14</f>
        <v>5292</v>
      </c>
      <c r="D17" s="20" t="n">
        <f aca="false">D11*Hypothèses!B14</f>
        <v>7938</v>
      </c>
      <c r="E17" s="20" t="n">
        <f aca="false">SUM(B17:D17)</f>
        <v>16758</v>
      </c>
    </row>
    <row r="18" customFormat="false" ht="15" hidden="false" customHeight="false" outlineLevel="0" collapsed="false">
      <c r="A18" s="17" t="s">
        <v>57</v>
      </c>
      <c r="B18" s="21" t="n">
        <f aca="false">B12*Hypothèses!B15</f>
        <v>19305</v>
      </c>
      <c r="C18" s="21" t="n">
        <f aca="false">C12*Hypothèses!B15</f>
        <v>29205</v>
      </c>
      <c r="D18" s="21" t="n">
        <f aca="false">D12*Hypothèses!B15</f>
        <v>44055</v>
      </c>
      <c r="E18" s="21" t="n">
        <f aca="false">SUM(B18:D18)</f>
        <v>92565</v>
      </c>
    </row>
    <row r="19" customFormat="false" ht="15" hidden="false" customHeight="false" outlineLevel="0" collapsed="false">
      <c r="A19" s="17" t="s">
        <v>58</v>
      </c>
      <c r="B19" s="21" t="n">
        <f aca="false">B13*Hypothèses!B16</f>
        <v>29880</v>
      </c>
      <c r="C19" s="21" t="n">
        <f aca="false">C13*Hypothèses!B16</f>
        <v>44820</v>
      </c>
      <c r="D19" s="21" t="n">
        <f aca="false">D13*Hypothèses!B16</f>
        <v>68724</v>
      </c>
      <c r="E19" s="21" t="n">
        <f aca="false">SUM(B19:D19)</f>
        <v>143424</v>
      </c>
    </row>
    <row r="20" customFormat="false" ht="15" hidden="false" customHeight="false" outlineLevel="0" collapsed="false">
      <c r="A20" s="17" t="s">
        <v>59</v>
      </c>
      <c r="B20" s="22" t="n">
        <f aca="false">SUM(B17:B19)</f>
        <v>52713</v>
      </c>
      <c r="C20" s="22" t="n">
        <f aca="false">SUM(C17:C19)</f>
        <v>79317</v>
      </c>
      <c r="D20" s="22" t="n">
        <f aca="false">SUM(D17:D19)</f>
        <v>120717</v>
      </c>
      <c r="E20" s="22" t="n">
        <f aca="false">SUM(B20:D20)</f>
        <v>252747</v>
      </c>
    </row>
    <row r="21" customFormat="false" ht="15" hidden="false" customHeight="false" outlineLevel="0" collapsed="false">
      <c r="A21" s="17" t="s">
        <v>60</v>
      </c>
      <c r="B21" s="18"/>
      <c r="C21" s="18"/>
      <c r="D21" s="18"/>
      <c r="E21" s="18"/>
    </row>
    <row r="22" customFormat="false" ht="15" hidden="false" customHeight="false" outlineLevel="0" collapsed="false">
      <c r="A22" s="17"/>
      <c r="B22" s="18"/>
      <c r="C22" s="18"/>
      <c r="D22" s="18"/>
      <c r="E22" s="18"/>
    </row>
    <row r="23" customFormat="false" ht="15" hidden="false" customHeight="false" outlineLevel="0" collapsed="false">
      <c r="A23" s="15" t="s">
        <v>61</v>
      </c>
      <c r="B23" s="20" t="n">
        <f aca="false">(B11+B12)*Hypothèses!B26</f>
        <v>534</v>
      </c>
      <c r="C23" s="20" t="n">
        <f aca="false">(C11+C12)*Hypothèses!B26</f>
        <v>806</v>
      </c>
      <c r="D23" s="20" t="n">
        <f aca="false">(D11+D12)*Hypothèses!B26</f>
        <v>1214</v>
      </c>
      <c r="E23" s="20" t="n">
        <f aca="false">SUM(B23:D23)</f>
        <v>2554</v>
      </c>
    </row>
    <row r="24" customFormat="false" ht="15" hidden="false" customHeight="false" outlineLevel="0" collapsed="false">
      <c r="A24" s="17" t="s">
        <v>62</v>
      </c>
      <c r="B24" s="21" t="n">
        <f aca="false">Hypothèses!B27*12</f>
        <v>600</v>
      </c>
      <c r="C24" s="21" t="n">
        <f aca="false">Hypothèses!B27*12</f>
        <v>600</v>
      </c>
      <c r="D24" s="21" t="n">
        <f aca="false">Hypothèses!B27*12</f>
        <v>600</v>
      </c>
      <c r="E24" s="21" t="n">
        <f aca="false">SUM(B24:D24)</f>
        <v>1800</v>
      </c>
    </row>
    <row r="25" customFormat="false" ht="15" hidden="false" customHeight="false" outlineLevel="0" collapsed="false">
      <c r="A25" s="17" t="s">
        <v>63</v>
      </c>
      <c r="B25" s="23" t="n">
        <f aca="false">B23+B24</f>
        <v>1134</v>
      </c>
      <c r="C25" s="23" t="n">
        <f aca="false">C23+C24</f>
        <v>1406</v>
      </c>
      <c r="D25" s="23" t="n">
        <f aca="false">D23+D24</f>
        <v>1814</v>
      </c>
      <c r="E25" s="21" t="n">
        <f aca="false">SUM(B25:D25)</f>
        <v>4354</v>
      </c>
    </row>
    <row r="26" customFormat="false" ht="15" hidden="false" customHeight="false" outlineLevel="0" collapsed="false">
      <c r="A26" s="17" t="s">
        <v>64</v>
      </c>
      <c r="B26" s="18"/>
      <c r="C26" s="18"/>
      <c r="D26" s="18"/>
      <c r="E26" s="18"/>
    </row>
    <row r="27" customFormat="false" ht="15" hidden="false" customHeight="false" outlineLevel="0" collapsed="false">
      <c r="A27" s="17"/>
      <c r="B27" s="18"/>
      <c r="C27" s="18"/>
      <c r="D27" s="18"/>
      <c r="E27" s="18"/>
    </row>
    <row r="28" customFormat="false" ht="15" hidden="false" customHeight="false" outlineLevel="0" collapsed="false">
      <c r="A28" s="15" t="s">
        <v>65</v>
      </c>
      <c r="B28" s="24" t="n">
        <f aca="false">B20-B25</f>
        <v>51579</v>
      </c>
      <c r="C28" s="24" t="n">
        <f aca="false">C20-C25</f>
        <v>77911</v>
      </c>
      <c r="D28" s="24" t="n">
        <f aca="false">D20-D25</f>
        <v>118903</v>
      </c>
      <c r="E28" s="24" t="n">
        <f aca="false">SUM(B28:D28)</f>
        <v>248393</v>
      </c>
    </row>
    <row r="29" customFormat="false" ht="15" hidden="false" customHeight="false" outlineLevel="0" collapsed="false">
      <c r="A29" s="17" t="s">
        <v>66</v>
      </c>
      <c r="B29" s="25" t="n">
        <f aca="false">IF(B20&gt;0,B28/B20,0)</f>
        <v>0.978487280177565</v>
      </c>
      <c r="C29" s="25" t="n">
        <f aca="false">IF(C20&gt;0,C28/C20,0)</f>
        <v>0.982273661384067</v>
      </c>
      <c r="D29" s="25" t="n">
        <f aca="false">IF(D20&gt;0,D28/D20,0)</f>
        <v>0.984973118947621</v>
      </c>
      <c r="E29" s="25" t="n">
        <f aca="false">IF(E20&gt;0,E28/E20,0)</f>
        <v>0.982773287121113</v>
      </c>
    </row>
    <row r="30" customFormat="false" ht="15" hidden="false" customHeight="false" outlineLevel="0" collapsed="false">
      <c r="A30" s="17" t="s">
        <v>67</v>
      </c>
      <c r="B30" s="18"/>
      <c r="C30" s="18"/>
      <c r="D30" s="18"/>
      <c r="E3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2026-03-19T00:00:48Z</dcterms:created>
  <dc:creator>openpyxl</dc:creator>
  <dc:description/>
  <dc:language>en-US</dc:language>
  <cp:lastModifiedBy/>
  <dcterms:modified xsi:type="dcterms:W3CDTF">2026-03-19T00:00:48Z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